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recep/Desktop/"/>
    </mc:Choice>
  </mc:AlternateContent>
  <xr:revisionPtr revIDLastSave="0" documentId="13_ncr:1_{CBE439C4-527A-DB47-B119-19CDF3C02A0C}" xr6:coauthVersionLast="47" xr6:coauthVersionMax="47" xr10:uidLastSave="{00000000-0000-0000-0000-000000000000}"/>
  <bookViews>
    <workbookView xWindow="1740" yWindow="1660" windowWidth="31100" windowHeight="18160" tabRatio="500" xr2:uid="{00000000-000D-0000-FFFF-FFFF00000000}"/>
  </bookViews>
  <sheets>
    <sheet name="Staj Takip" sheetId="1" r:id="rId1"/>
  </sheets>
  <definedNames>
    <definedName name="_xlnm._FilterDatabase" localSheetId="0" hidden="1">'Staj Takip'!$A$1:$O$61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1" l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R16" i="1"/>
  <c r="G16" i="1"/>
  <c r="R15" i="1"/>
  <c r="G15" i="1"/>
  <c r="G14" i="1"/>
  <c r="G13" i="1"/>
  <c r="G12" i="1"/>
  <c r="R11" i="1"/>
  <c r="G11" i="1"/>
  <c r="R10" i="1"/>
  <c r="R13" i="1" s="1"/>
  <c r="G10" i="1"/>
  <c r="R9" i="1"/>
  <c r="G9" i="1"/>
  <c r="G8" i="1"/>
  <c r="R7" i="1"/>
  <c r="G7" i="1"/>
  <c r="R6" i="1"/>
  <c r="G6" i="1"/>
  <c r="R5" i="1"/>
  <c r="G5" i="1"/>
  <c r="R4" i="1"/>
  <c r="G4" i="1"/>
  <c r="R3" i="1"/>
  <c r="G3" i="1"/>
  <c r="G2" i="1"/>
  <c r="R12" i="1" l="1"/>
</calcChain>
</file>

<file path=xl/sharedStrings.xml><?xml version="1.0" encoding="utf-8"?>
<sst xmlns="http://schemas.openxmlformats.org/spreadsheetml/2006/main" count="151" uniqueCount="69">
  <si>
    <t>Görev</t>
  </si>
  <si>
    <t>Durum</t>
  </si>
  <si>
    <t>İlerleme %</t>
  </si>
  <si>
    <t>Yapılacak Adımlar</t>
  </si>
  <si>
    <t>Tahmini Süre (saat)</t>
  </si>
  <si>
    <t>Gerçek Süre (saat)</t>
  </si>
  <si>
    <t>Sapma (saat)</t>
  </si>
  <si>
    <t>Başlangıç</t>
  </si>
  <si>
    <t>Hedef Bitiş</t>
  </si>
  <si>
    <t>Gerçek Bitiş</t>
  </si>
  <si>
    <t>Öğrendiklerim</t>
  </si>
  <si>
    <t>Karşılaştığım Problemler</t>
  </si>
  <si>
    <t>Çözümüm / Kaynaklar</t>
  </si>
  <si>
    <t>GitHub Linki</t>
  </si>
  <si>
    <t>Medium Linki</t>
  </si>
  <si>
    <t>ÖZET</t>
  </si>
  <si>
    <t>Tamamlandı</t>
  </si>
  <si>
    <t>Başlanacak</t>
  </si>
  <si>
    <t>Devam Ediyor</t>
  </si>
  <si>
    <t>Slaytları hazırla → yüz yüze sun</t>
  </si>
  <si>
    <t>İncelemede</t>
  </si>
  <si>
    <t>Beklemede</t>
  </si>
  <si>
    <t>TOPLAM GÖREV</t>
  </si>
  <si>
    <t>Planlanan Toplam Süre (saat)</t>
  </si>
  <si>
    <t>Biten işlerin tahmini (saat)</t>
  </si>
  <si>
    <t>Biten işlerin gerçeği (saat)</t>
  </si>
  <si>
    <t>Tahmin Doğruluğu</t>
  </si>
  <si>
    <t>Sıradaki Görev</t>
  </si>
  <si>
    <t>İnceleme Bekleyen</t>
  </si>
  <si>
    <t>NASIL KULLANILIR</t>
  </si>
  <si>
    <t>1. Sarı hücreleri elle doldur. Yeşil hücre (Sapma) otomatik hesaplanır.</t>
  </si>
  <si>
    <t>2. Durum akışı: Başlanacak → Devam Ediyor → İncelemede → Tamamlandı.</t>
  </si>
  <si>
    <t xml:space="preserve">   İş teslim edilip onay beklerken 'İncelemede' işaretle; onay gelmeden Tamamlandı yapma.</t>
  </si>
  <si>
    <t>3. Göreve BAŞLARKEN 'Tahmini Süre'yi yaz, BİTİRİNCE 'Gerçek Süre'yi gir.</t>
  </si>
  <si>
    <t xml:space="preserve">   Sapma kırmızıysa tahmin ettiğinden uzun sürmüş demektir.</t>
  </si>
  <si>
    <t>4. Görev biter bitmez Öğrendiklerim / Problemler / Çözüm alanlarını doldur;</t>
  </si>
  <si>
    <t xml:space="preserve">   sonraya bırakırsan detaylar unutulur. 2-3 cümle yeterli.</t>
  </si>
  <si>
    <t>5. GitHub commit linkini ve Medium yazı linkini ilgili sütunlara yapıştır.</t>
  </si>
  <si>
    <t>6. İlk satır örnektir, silebilirsin.</t>
  </si>
  <si>
    <t>Unreal Engine Öğrenme Eğitim Video Serisi</t>
  </si>
  <si>
    <t>Videoları izle → Kendin dene → Geliştir</t>
  </si>
  <si>
    <t>1 Hafta</t>
  </si>
  <si>
    <t>Unreal Engine 5'te Component mimarisi, Blueprint ve C++ arasındaki ilişki ve genel Unreal Engine kullanımı</t>
  </si>
  <si>
    <t xml:space="preserve">Mac'te sıkça Compile sorunları yaşadım </t>
  </si>
  <si>
    <t>Rider + UE + Terminal + Xcode'u kombinleyerek kullanmak</t>
  </si>
  <si>
    <t>?</t>
  </si>
  <si>
    <t>https://github.com/PeQMeZ7/digiMODE-unreal-cpp-internship-2026</t>
  </si>
  <si>
    <t>GitHub reposu</t>
  </si>
  <si>
    <t>C++ Öğrenme</t>
  </si>
  <si>
    <t>Repo aç → git add . →  git commit -m "xxx" → git push</t>
  </si>
  <si>
    <t>C++ Slaytı Hazırlama</t>
  </si>
  <si>
    <t>C++'ta Pointer Slaytı Hazırlama</t>
  </si>
  <si>
    <t>Unreal Engine 5 Slayt Hazırlama</t>
  </si>
  <si>
    <t>Unreal Engine 5 Staj Projesi</t>
  </si>
  <si>
    <t>Unreal Engine 5 Plugin Öğrenme</t>
  </si>
  <si>
    <t>Unreal Engine 5 Cast türleri</t>
  </si>
  <si>
    <t xml:space="preserve">Cast&lt;T&gt;() → 2. CastChecked&lt;T&gt;() →  ExactCast&lt;T&gt;() → Interface Cast → TScriptInterface&lt;T&gt;
</t>
  </si>
  <si>
    <t>Unreal Engine 5'te Cast türleri</t>
  </si>
  <si>
    <t>-</t>
  </si>
  <si>
    <t>None</t>
  </si>
  <si>
    <t>Claude</t>
  </si>
  <si>
    <t>?%</t>
  </si>
  <si>
    <t xml:space="preserve">C++ Öğrenimi, Pointer Öğrenimi
</t>
  </si>
  <si>
    <t>Detaylı C++ Kod yazımı ve mantığı</t>
  </si>
  <si>
    <t>Pointer mantığı kafama çok zor oturdu</t>
  </si>
  <si>
    <t>Bol bol pratik yapmak</t>
  </si>
  <si>
    <t>Terminalden Git kullanımı</t>
  </si>
  <si>
    <t>Pratik tekrar yapıp kullanmak</t>
  </si>
  <si>
    <t xml:space="preserve">UML Mimarisi Öğrenme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</si>
</sst>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u/>
      <sz val="9"/>
      <color rgb="FF0563C1"/>
      <name val="Arial"/>
      <charset val="1"/>
    </font>
    <font>
      <b/>
      <sz val="10"/>
      <name val="Arial"/>
      <charset val="1"/>
    </font>
    <font>
      <b/>
      <sz val="11"/>
      <color rgb="FF1F3864"/>
      <name val="Arial"/>
      <charset val="1"/>
    </font>
    <font>
      <sz val="10"/>
      <name val="Arial"/>
      <family val="2"/>
    </font>
    <font>
      <u/>
      <sz val="9"/>
      <color rgb="FF0563C1"/>
      <name val="Arial"/>
      <family val="2"/>
    </font>
    <font>
      <u/>
      <sz val="11"/>
      <color theme="1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EA8"/>
        <bgColor rgb="FF1F4E79"/>
      </patternFill>
    </fill>
    <fill>
      <patternFill patternType="solid">
        <fgColor rgb="FFFFF2CC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top"/>
    </xf>
    <xf numFmtId="0" fontId="2" fillId="4" borderId="1" xfId="0" applyFont="1" applyFill="1" applyBorder="1" applyAlignment="1">
      <alignment horizontal="center" vertical="top"/>
    </xf>
    <xf numFmtId="9" fontId="2" fillId="4" borderId="1" xfId="0" applyNumberFormat="1" applyFont="1" applyFill="1" applyBorder="1" applyAlignment="1">
      <alignment horizontal="center" vertical="top"/>
    </xf>
    <xf numFmtId="0" fontId="2" fillId="4" borderId="1" xfId="0" applyFont="1" applyFill="1" applyBorder="1" applyAlignment="1">
      <alignment vertical="top" wrapText="1"/>
    </xf>
    <xf numFmtId="164" fontId="2" fillId="4" borderId="1" xfId="0" applyNumberFormat="1" applyFont="1" applyFill="1" applyBorder="1" applyAlignment="1">
      <alignment horizontal="center" vertical="top"/>
    </xf>
    <xf numFmtId="164" fontId="2" fillId="5" borderId="1" xfId="0" applyNumberFormat="1" applyFont="1" applyFill="1" applyBorder="1" applyAlignment="1">
      <alignment horizontal="center" vertical="top"/>
    </xf>
    <xf numFmtId="0" fontId="3" fillId="4" borderId="1" xfId="0" applyFont="1" applyFill="1" applyBorder="1" applyAlignment="1">
      <alignment vertical="top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4" fillId="6" borderId="1" xfId="0" applyFont="1" applyFill="1" applyBorder="1"/>
    <xf numFmtId="0" fontId="4" fillId="6" borderId="1" xfId="0" applyFont="1" applyFill="1" applyBorder="1" applyAlignment="1">
      <alignment horizontal="center"/>
    </xf>
    <xf numFmtId="9" fontId="2" fillId="6" borderId="1" xfId="0" applyNumberFormat="1" applyFont="1" applyFill="1" applyBorder="1" applyAlignment="1">
      <alignment horizontal="center"/>
    </xf>
    <xf numFmtId="0" fontId="5" fillId="0" borderId="0" xfId="0" applyFont="1"/>
    <xf numFmtId="0" fontId="2" fillId="0" borderId="0" xfId="0" applyFont="1"/>
    <xf numFmtId="0" fontId="6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/>
    </xf>
    <xf numFmtId="164" fontId="6" fillId="4" borderId="1" xfId="0" applyNumberFormat="1" applyFont="1" applyFill="1" applyBorder="1" applyAlignment="1">
      <alignment horizontal="center" vertical="top"/>
    </xf>
    <xf numFmtId="14" fontId="2" fillId="4" borderId="1" xfId="0" applyNumberFormat="1" applyFont="1" applyFill="1" applyBorder="1" applyAlignment="1">
      <alignment vertical="top"/>
    </xf>
    <xf numFmtId="0" fontId="7" fillId="4" borderId="1" xfId="0" applyFont="1" applyFill="1" applyBorder="1" applyAlignment="1">
      <alignment vertical="top"/>
    </xf>
    <xf numFmtId="0" fontId="8" fillId="4" borderId="1" xfId="1" applyFill="1" applyBorder="1" applyAlignment="1">
      <alignment vertical="top"/>
    </xf>
    <xf numFmtId="9" fontId="6" fillId="4" borderId="1" xfId="0" applyNumberFormat="1" applyFont="1" applyFill="1" applyBorder="1" applyAlignment="1">
      <alignment horizontal="center" vertical="top"/>
    </xf>
    <xf numFmtId="14" fontId="6" fillId="4" borderId="1" xfId="0" applyNumberFormat="1" applyFont="1" applyFill="1" applyBorder="1" applyAlignment="1">
      <alignment vertical="top"/>
    </xf>
  </cellXfs>
  <cellStyles count="2">
    <cellStyle name="Köprü" xfId="1" builtinId="8"/>
    <cellStyle name="Normal" xfId="0" builtinId="0"/>
  </cellStyles>
  <dxfs count="6">
    <dxf>
      <font>
        <b/>
        <sz val="10"/>
        <color rgb="FF006100"/>
        <name val="Arial"/>
        <charset val="1"/>
      </font>
    </dxf>
    <dxf>
      <font>
        <b/>
        <sz val="10"/>
        <color rgb="FF9C0006"/>
        <name val="Arial"/>
        <charset val="1"/>
      </font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9C5700"/>
        <name val="Arial"/>
        <charset val="1"/>
      </font>
      <fill>
        <patternFill>
          <bgColor rgb="FFFFEB9C"/>
        </patternFill>
      </fill>
    </dxf>
    <dxf>
      <font>
        <b/>
        <sz val="10"/>
        <color rgb="FF1F4E79"/>
        <name val="Arial"/>
        <charset val="1"/>
      </font>
      <fill>
        <patternFill>
          <bgColor rgb="FFBDD7E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B9C"/>
      <rgbColor rgb="FF99CCFF"/>
      <rgbColor rgb="FFFF99CC"/>
      <rgbColor rgb="FFCC99FF"/>
      <rgbColor rgb="FFFFC7CE"/>
      <rgbColor rgb="FF2E5EA8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C57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PeQMeZ7/digiMODE-unreal-cpp-internship-2026" TargetMode="External"/><Relationship Id="rId3" Type="http://schemas.openxmlformats.org/officeDocument/2006/relationships/hyperlink" Target="https://github.com/PeQMeZ7/digiMODE-unreal-cpp-internship-2026" TargetMode="External"/><Relationship Id="rId7" Type="http://schemas.openxmlformats.org/officeDocument/2006/relationships/hyperlink" Target="https://github.com/PeQMeZ7/digiMODE-unreal-cpp-internship-2026" TargetMode="External"/><Relationship Id="rId2" Type="http://schemas.openxmlformats.org/officeDocument/2006/relationships/hyperlink" Target="https://github.com/PeQMeZ7/digiMODE-unreal-cpp-internship-2026" TargetMode="External"/><Relationship Id="rId1" Type="http://schemas.openxmlformats.org/officeDocument/2006/relationships/hyperlink" Target="https://github.com/PeQMeZ7/digiMODE-unreal-cpp-internship-2026" TargetMode="External"/><Relationship Id="rId6" Type="http://schemas.openxmlformats.org/officeDocument/2006/relationships/hyperlink" Target="https://github.com/PeQMeZ7/digiMODE-unreal-cpp-internship-2026" TargetMode="External"/><Relationship Id="rId5" Type="http://schemas.openxmlformats.org/officeDocument/2006/relationships/hyperlink" Target="https://github.com/PeQMeZ7/digiMODE-unreal-cpp-internship-2026" TargetMode="External"/><Relationship Id="rId4" Type="http://schemas.openxmlformats.org/officeDocument/2006/relationships/hyperlink" Target="https://github.com/PeQMeZ7/digiMODE-unreal-cpp-internship-2026" TargetMode="External"/><Relationship Id="rId9" Type="http://schemas.openxmlformats.org/officeDocument/2006/relationships/hyperlink" Target="https://github.com/PeQMeZ7/digiMODE-unreal-cpp-internship-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1"/>
  <sheetViews>
    <sheetView tabSelected="1" zoomScale="11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8" sqref="D8"/>
    </sheetView>
  </sheetViews>
  <sheetFormatPr baseColWidth="10" defaultColWidth="8.6640625" defaultRowHeight="15" x14ac:dyDescent="0.2"/>
  <cols>
    <col min="1" max="1" width="38" customWidth="1"/>
    <col min="2" max="2" width="15" customWidth="1"/>
    <col min="3" max="3" width="11" customWidth="1"/>
    <col min="4" max="4" width="38" customWidth="1"/>
    <col min="5" max="6" width="12" customWidth="1"/>
    <col min="7" max="7" width="11" customWidth="1"/>
    <col min="8" max="10" width="12" customWidth="1"/>
    <col min="11" max="11" width="45" customWidth="1"/>
    <col min="12" max="13" width="40" customWidth="1"/>
    <col min="14" max="15" width="30" customWidth="1"/>
    <col min="16" max="16" width="3" customWidth="1"/>
    <col min="17" max="17" width="42" customWidth="1"/>
    <col min="18" max="18" width="26" customWidth="1"/>
  </cols>
  <sheetData>
    <row r="1" spans="1:18" ht="4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Q1" s="3" t="s">
        <v>15</v>
      </c>
      <c r="R1" s="3"/>
    </row>
    <row r="2" spans="1:18" ht="45.75" customHeight="1" x14ac:dyDescent="0.2">
      <c r="A2" s="19" t="s">
        <v>39</v>
      </c>
      <c r="B2" s="5" t="s">
        <v>16</v>
      </c>
      <c r="C2" s="6">
        <v>1</v>
      </c>
      <c r="D2" s="18" t="s">
        <v>40</v>
      </c>
      <c r="E2" s="20" t="s">
        <v>41</v>
      </c>
      <c r="F2" s="20" t="s">
        <v>41</v>
      </c>
      <c r="G2" s="9" t="e">
        <f t="shared" ref="G2:G33" si="0">IF(OR($E2="",$F2=""),"",$F2-$E2)</f>
        <v>#VALUE!</v>
      </c>
      <c r="H2" s="21">
        <v>46223</v>
      </c>
      <c r="I2" s="21">
        <v>46230</v>
      </c>
      <c r="J2" s="21">
        <v>46230</v>
      </c>
      <c r="K2" s="18" t="s">
        <v>42</v>
      </c>
      <c r="L2" s="18" t="s">
        <v>43</v>
      </c>
      <c r="M2" s="18" t="s">
        <v>44</v>
      </c>
      <c r="N2" s="23" t="s">
        <v>46</v>
      </c>
      <c r="O2" s="22" t="s">
        <v>45</v>
      </c>
      <c r="Q2" s="11" t="s">
        <v>17</v>
      </c>
      <c r="R2" s="12">
        <f>COUNTIFS($A$2:$A$61,"&lt;&gt;",$B$2:$B$61,$Q2)</f>
        <v>2</v>
      </c>
    </row>
    <row r="3" spans="1:18" ht="45.75" customHeight="1" x14ac:dyDescent="0.2">
      <c r="A3" s="19" t="s">
        <v>47</v>
      </c>
      <c r="B3" s="5" t="s">
        <v>16</v>
      </c>
      <c r="C3" s="6">
        <v>1</v>
      </c>
      <c r="D3" s="18" t="s">
        <v>49</v>
      </c>
      <c r="E3" s="8">
        <v>2</v>
      </c>
      <c r="F3" s="20">
        <v>2</v>
      </c>
      <c r="G3" s="9">
        <f t="shared" si="0"/>
        <v>0</v>
      </c>
      <c r="H3" s="21">
        <v>46217</v>
      </c>
      <c r="I3" s="21">
        <v>46218</v>
      </c>
      <c r="J3" s="25">
        <v>46218</v>
      </c>
      <c r="K3" s="18" t="s">
        <v>66</v>
      </c>
      <c r="L3" s="18" t="s">
        <v>58</v>
      </c>
      <c r="M3" s="18" t="s">
        <v>67</v>
      </c>
      <c r="N3" s="23" t="s">
        <v>46</v>
      </c>
      <c r="O3" s="22" t="s">
        <v>58</v>
      </c>
      <c r="Q3" s="11" t="s">
        <v>18</v>
      </c>
      <c r="R3" s="12">
        <f>COUNTIFS($A$2:$A$61,"&lt;&gt;",$B$2:$B$61,$Q3)</f>
        <v>3</v>
      </c>
    </row>
    <row r="4" spans="1:18" ht="45.75" customHeight="1" x14ac:dyDescent="0.2">
      <c r="A4" s="19" t="s">
        <v>48</v>
      </c>
      <c r="B4" s="5" t="s">
        <v>18</v>
      </c>
      <c r="C4" s="24" t="s">
        <v>61</v>
      </c>
      <c r="D4" s="18" t="s">
        <v>62</v>
      </c>
      <c r="E4" s="20" t="s">
        <v>41</v>
      </c>
      <c r="F4" s="20" t="s">
        <v>41</v>
      </c>
      <c r="G4" s="9" t="e">
        <f t="shared" si="0"/>
        <v>#VALUE!</v>
      </c>
      <c r="H4" s="21">
        <v>46216</v>
      </c>
      <c r="I4" s="21">
        <v>46223</v>
      </c>
      <c r="J4" s="25">
        <v>46223</v>
      </c>
      <c r="K4" s="18" t="s">
        <v>63</v>
      </c>
      <c r="L4" s="18" t="s">
        <v>64</v>
      </c>
      <c r="M4" s="18" t="s">
        <v>65</v>
      </c>
      <c r="N4" s="23" t="s">
        <v>46</v>
      </c>
      <c r="O4" s="22" t="s">
        <v>58</v>
      </c>
      <c r="Q4" s="11" t="s">
        <v>20</v>
      </c>
      <c r="R4" s="12">
        <f>COUNTIFS($A$2:$A$61,"&lt;&gt;",$B$2:$B$61,$Q4)</f>
        <v>0</v>
      </c>
    </row>
    <row r="5" spans="1:18" ht="45.75" customHeight="1" x14ac:dyDescent="0.2">
      <c r="A5" s="19" t="s">
        <v>50</v>
      </c>
      <c r="B5" s="5" t="s">
        <v>16</v>
      </c>
      <c r="C5" s="6">
        <v>0</v>
      </c>
      <c r="D5" s="18" t="s">
        <v>19</v>
      </c>
      <c r="E5" s="8">
        <v>72</v>
      </c>
      <c r="F5" s="8">
        <v>72</v>
      </c>
      <c r="G5" s="9">
        <f t="shared" si="0"/>
        <v>0</v>
      </c>
      <c r="H5" s="21">
        <v>46216</v>
      </c>
      <c r="I5" s="21">
        <v>46219</v>
      </c>
      <c r="J5" s="21">
        <v>46219</v>
      </c>
      <c r="K5" s="7"/>
      <c r="L5" s="7"/>
      <c r="M5" s="7"/>
      <c r="N5" s="23" t="s">
        <v>46</v>
      </c>
      <c r="O5" s="22" t="s">
        <v>58</v>
      </c>
      <c r="Q5" s="11" t="s">
        <v>16</v>
      </c>
      <c r="R5" s="12">
        <f>COUNTIFS($A$2:$A$61,"&lt;&gt;",$B$2:$B$61,$Q5)</f>
        <v>5</v>
      </c>
    </row>
    <row r="6" spans="1:18" ht="45.75" customHeight="1" x14ac:dyDescent="0.2">
      <c r="A6" s="19" t="s">
        <v>51</v>
      </c>
      <c r="B6" s="5" t="s">
        <v>16</v>
      </c>
      <c r="C6" s="6">
        <v>0</v>
      </c>
      <c r="D6" s="18" t="s">
        <v>19</v>
      </c>
      <c r="E6" s="8">
        <v>72</v>
      </c>
      <c r="F6" s="8">
        <v>72</v>
      </c>
      <c r="G6" s="9">
        <f t="shared" si="0"/>
        <v>0</v>
      </c>
      <c r="H6" s="21">
        <v>46217</v>
      </c>
      <c r="I6" s="21">
        <v>46220</v>
      </c>
      <c r="J6" s="21">
        <v>46220</v>
      </c>
      <c r="K6" s="7"/>
      <c r="L6" s="7"/>
      <c r="M6" s="7"/>
      <c r="N6" s="23" t="s">
        <v>46</v>
      </c>
      <c r="O6" s="22" t="s">
        <v>58</v>
      </c>
      <c r="Q6" s="11" t="s">
        <v>21</v>
      </c>
      <c r="R6" s="12">
        <f>COUNTIFS($A$2:$A$61,"&lt;&gt;",$B$2:$B$61,$Q6)</f>
        <v>0</v>
      </c>
    </row>
    <row r="7" spans="1:18" ht="45.75" customHeight="1" x14ac:dyDescent="0.2">
      <c r="A7" s="19" t="s">
        <v>52</v>
      </c>
      <c r="B7" s="5" t="s">
        <v>18</v>
      </c>
      <c r="C7" s="6">
        <v>0</v>
      </c>
      <c r="D7" s="18" t="s">
        <v>19</v>
      </c>
      <c r="E7" s="8"/>
      <c r="F7" s="8"/>
      <c r="G7" s="9" t="str">
        <f t="shared" si="0"/>
        <v/>
      </c>
      <c r="H7" s="4"/>
      <c r="I7" s="4"/>
      <c r="J7" s="4"/>
      <c r="K7" s="7"/>
      <c r="L7" s="7"/>
      <c r="M7" s="7"/>
      <c r="N7" s="23" t="s">
        <v>46</v>
      </c>
      <c r="O7" s="22" t="s">
        <v>58</v>
      </c>
      <c r="Q7" s="13" t="s">
        <v>22</v>
      </c>
      <c r="R7" s="14">
        <f>COUNTIF($A$2:$A$61,"&lt;&gt;")</f>
        <v>10</v>
      </c>
    </row>
    <row r="8" spans="1:18" ht="45.75" customHeight="1" x14ac:dyDescent="0.2">
      <c r="A8" s="19" t="s">
        <v>53</v>
      </c>
      <c r="B8" s="5" t="s">
        <v>18</v>
      </c>
      <c r="C8" s="6">
        <v>0</v>
      </c>
      <c r="D8" s="7"/>
      <c r="E8" s="8"/>
      <c r="F8" s="8"/>
      <c r="G8" s="9" t="str">
        <f t="shared" si="0"/>
        <v/>
      </c>
      <c r="H8" s="4"/>
      <c r="I8" s="4"/>
      <c r="J8" s="4"/>
      <c r="K8" s="7"/>
      <c r="L8" s="7"/>
      <c r="M8" s="7"/>
      <c r="N8" s="23" t="s">
        <v>46</v>
      </c>
      <c r="O8" s="22" t="s">
        <v>58</v>
      </c>
    </row>
    <row r="9" spans="1:18" ht="45.75" customHeight="1" x14ac:dyDescent="0.2">
      <c r="A9" s="19" t="s">
        <v>54</v>
      </c>
      <c r="B9" s="5" t="s">
        <v>17</v>
      </c>
      <c r="C9" s="6">
        <v>0</v>
      </c>
      <c r="D9" s="7"/>
      <c r="E9" s="8"/>
      <c r="F9" s="8"/>
      <c r="G9" s="9" t="str">
        <f t="shared" si="0"/>
        <v/>
      </c>
      <c r="H9" s="4"/>
      <c r="I9" s="4"/>
      <c r="J9" s="4"/>
      <c r="K9" s="7"/>
      <c r="L9" s="7"/>
      <c r="M9" s="7"/>
      <c r="N9" s="23" t="s">
        <v>46</v>
      </c>
      <c r="O9" s="22" t="s">
        <v>58</v>
      </c>
      <c r="Q9" s="11" t="s">
        <v>23</v>
      </c>
      <c r="R9" s="12">
        <f>SUM($E$2:$E$61)</f>
        <v>148</v>
      </c>
    </row>
    <row r="10" spans="1:18" ht="45.75" customHeight="1" x14ac:dyDescent="0.2">
      <c r="A10" s="19" t="s">
        <v>55</v>
      </c>
      <c r="B10" s="5" t="s">
        <v>16</v>
      </c>
      <c r="C10" s="6">
        <v>1</v>
      </c>
      <c r="D10" s="18" t="s">
        <v>56</v>
      </c>
      <c r="E10" s="8">
        <v>2</v>
      </c>
      <c r="F10" s="8">
        <v>2</v>
      </c>
      <c r="G10" s="9">
        <f t="shared" si="0"/>
        <v>0</v>
      </c>
      <c r="H10" s="21">
        <v>46230</v>
      </c>
      <c r="I10" s="21">
        <v>46230</v>
      </c>
      <c r="J10" s="21">
        <v>46230</v>
      </c>
      <c r="K10" s="18" t="s">
        <v>57</v>
      </c>
      <c r="L10" s="18" t="s">
        <v>59</v>
      </c>
      <c r="M10" s="18" t="s">
        <v>60</v>
      </c>
      <c r="N10" s="23" t="s">
        <v>46</v>
      </c>
      <c r="O10" s="22" t="s">
        <v>58</v>
      </c>
      <c r="Q10" s="11" t="s">
        <v>24</v>
      </c>
      <c r="R10" s="12">
        <f>SUMIFS($E$2:$E$61,$F$2:$F$61,"&lt;&gt;")</f>
        <v>148</v>
      </c>
    </row>
    <row r="11" spans="1:18" ht="45.75" customHeight="1" x14ac:dyDescent="0.2">
      <c r="A11" s="19" t="s">
        <v>68</v>
      </c>
      <c r="B11" s="5" t="s">
        <v>17</v>
      </c>
      <c r="C11" s="6">
        <v>0</v>
      </c>
      <c r="D11" s="7"/>
      <c r="E11" s="8"/>
      <c r="F11" s="8"/>
      <c r="G11" s="9" t="str">
        <f t="shared" si="0"/>
        <v/>
      </c>
      <c r="H11" s="4"/>
      <c r="I11" s="4"/>
      <c r="J11" s="4"/>
      <c r="K11" s="7"/>
      <c r="L11" s="7"/>
      <c r="M11" s="7"/>
      <c r="N11" s="10"/>
      <c r="O11" s="10"/>
      <c r="Q11" s="11" t="s">
        <v>25</v>
      </c>
      <c r="R11" s="12">
        <f>SUM($F$2:$F$61)</f>
        <v>148</v>
      </c>
    </row>
    <row r="12" spans="1:18" ht="45.75" customHeight="1" x14ac:dyDescent="0.2">
      <c r="A12" s="4"/>
      <c r="B12" s="5" t="s">
        <v>17</v>
      </c>
      <c r="C12" s="6">
        <v>0</v>
      </c>
      <c r="D12" s="7"/>
      <c r="E12" s="8"/>
      <c r="F12" s="8"/>
      <c r="G12" s="9" t="str">
        <f t="shared" si="0"/>
        <v/>
      </c>
      <c r="H12" s="4"/>
      <c r="I12" s="4"/>
      <c r="J12" s="4"/>
      <c r="K12" s="7"/>
      <c r="L12" s="7"/>
      <c r="M12" s="7"/>
      <c r="N12" s="10"/>
      <c r="O12" s="10"/>
      <c r="Q12" s="13" t="s">
        <v>6</v>
      </c>
      <c r="R12" s="14">
        <f>$R$11-$R$10</f>
        <v>0</v>
      </c>
    </row>
    <row r="13" spans="1:18" ht="45.75" customHeight="1" x14ac:dyDescent="0.2">
      <c r="A13" s="4"/>
      <c r="B13" s="5" t="s">
        <v>17</v>
      </c>
      <c r="C13" s="6">
        <v>0</v>
      </c>
      <c r="D13" s="7"/>
      <c r="E13" s="8"/>
      <c r="F13" s="8"/>
      <c r="G13" s="9" t="str">
        <f t="shared" si="0"/>
        <v/>
      </c>
      <c r="H13" s="4"/>
      <c r="I13" s="4"/>
      <c r="J13" s="4"/>
      <c r="K13" s="7"/>
      <c r="L13" s="7"/>
      <c r="M13" s="7"/>
      <c r="N13" s="10"/>
      <c r="O13" s="10"/>
      <c r="Q13" s="11" t="s">
        <v>26</v>
      </c>
      <c r="R13" s="15">
        <f>IFERROR($R$10/$R$11,"-")</f>
        <v>1</v>
      </c>
    </row>
    <row r="14" spans="1:18" ht="45.75" customHeight="1" x14ac:dyDescent="0.2">
      <c r="A14" s="4"/>
      <c r="B14" s="5" t="s">
        <v>17</v>
      </c>
      <c r="C14" s="6">
        <v>0</v>
      </c>
      <c r="D14" s="7"/>
      <c r="E14" s="8"/>
      <c r="F14" s="8"/>
      <c r="G14" s="9" t="str">
        <f t="shared" si="0"/>
        <v/>
      </c>
      <c r="H14" s="4"/>
      <c r="I14" s="4"/>
      <c r="J14" s="4"/>
      <c r="K14" s="7"/>
      <c r="L14" s="7"/>
      <c r="M14" s="7"/>
      <c r="N14" s="10"/>
      <c r="O14" s="10"/>
    </row>
    <row r="15" spans="1:18" ht="45.75" customHeight="1" x14ac:dyDescent="0.2">
      <c r="A15" s="4"/>
      <c r="B15" s="5" t="s">
        <v>17</v>
      </c>
      <c r="C15" s="6">
        <v>0</v>
      </c>
      <c r="D15" s="7"/>
      <c r="E15" s="8"/>
      <c r="F15" s="8"/>
      <c r="G15" s="9" t="str">
        <f t="shared" si="0"/>
        <v/>
      </c>
      <c r="H15" s="4"/>
      <c r="I15" s="4"/>
      <c r="J15" s="4"/>
      <c r="K15" s="7"/>
      <c r="L15" s="7"/>
      <c r="M15" s="7"/>
      <c r="N15" s="10"/>
      <c r="O15" s="10"/>
      <c r="Q15" s="13" t="s">
        <v>27</v>
      </c>
      <c r="R15" s="13" t="str">
        <f>IFERROR(INDEX($A$2:$A$61,MATCH("Devam Ediyor",$B$2:$B$61,0)),IFERROR(INDEX($A$2:$A$61,MATCH("Başlanacak",$B$2:$B$61,0)),"Hepsi bitti"))</f>
        <v>C++ Öğrenme</v>
      </c>
    </row>
    <row r="16" spans="1:18" ht="45.75" customHeight="1" x14ac:dyDescent="0.2">
      <c r="A16" s="4"/>
      <c r="B16" s="5" t="s">
        <v>17</v>
      </c>
      <c r="C16" s="6">
        <v>0</v>
      </c>
      <c r="D16" s="7"/>
      <c r="E16" s="8"/>
      <c r="F16" s="8"/>
      <c r="G16" s="9" t="str">
        <f t="shared" si="0"/>
        <v/>
      </c>
      <c r="H16" s="4"/>
      <c r="I16" s="4"/>
      <c r="J16" s="4"/>
      <c r="K16" s="7"/>
      <c r="L16" s="7"/>
      <c r="M16" s="7"/>
      <c r="N16" s="10"/>
      <c r="O16" s="10"/>
      <c r="Q16" s="11" t="s">
        <v>28</v>
      </c>
      <c r="R16" s="11" t="str">
        <f>IFERROR(INDEX($A$2:$A$61,MATCH("İncelemede",$B$2:$B$61,0)),"-")</f>
        <v>-</v>
      </c>
    </row>
    <row r="17" spans="1:17" ht="45.75" customHeight="1" x14ac:dyDescent="0.2">
      <c r="A17" s="4"/>
      <c r="B17" s="5" t="s">
        <v>17</v>
      </c>
      <c r="C17" s="6">
        <v>0</v>
      </c>
      <c r="D17" s="7"/>
      <c r="E17" s="8"/>
      <c r="F17" s="8"/>
      <c r="G17" s="9" t="str">
        <f t="shared" si="0"/>
        <v/>
      </c>
      <c r="H17" s="4"/>
      <c r="I17" s="4"/>
      <c r="J17" s="4"/>
      <c r="K17" s="7"/>
      <c r="L17" s="7"/>
      <c r="M17" s="7"/>
      <c r="N17" s="10"/>
      <c r="O17" s="10"/>
    </row>
    <row r="18" spans="1:17" ht="45.75" customHeight="1" x14ac:dyDescent="0.2">
      <c r="A18" s="4"/>
      <c r="B18" s="5" t="s">
        <v>17</v>
      </c>
      <c r="C18" s="6">
        <v>0</v>
      </c>
      <c r="D18" s="7"/>
      <c r="E18" s="8"/>
      <c r="F18" s="8"/>
      <c r="G18" s="9" t="str">
        <f t="shared" si="0"/>
        <v/>
      </c>
      <c r="H18" s="4"/>
      <c r="I18" s="4"/>
      <c r="J18" s="4"/>
      <c r="K18" s="7"/>
      <c r="L18" s="7"/>
      <c r="M18" s="7"/>
      <c r="N18" s="10"/>
      <c r="O18" s="10"/>
      <c r="Q18" s="16" t="s">
        <v>29</v>
      </c>
    </row>
    <row r="19" spans="1:17" ht="45.75" customHeight="1" x14ac:dyDescent="0.2">
      <c r="A19" s="4"/>
      <c r="B19" s="5" t="s">
        <v>17</v>
      </c>
      <c r="C19" s="6">
        <v>0</v>
      </c>
      <c r="D19" s="7"/>
      <c r="E19" s="8"/>
      <c r="F19" s="8"/>
      <c r="G19" s="9" t="str">
        <f t="shared" si="0"/>
        <v/>
      </c>
      <c r="H19" s="4"/>
      <c r="I19" s="4"/>
      <c r="J19" s="4"/>
      <c r="K19" s="7"/>
      <c r="L19" s="7"/>
      <c r="M19" s="7"/>
      <c r="N19" s="10"/>
      <c r="O19" s="10"/>
      <c r="Q19" s="17" t="s">
        <v>30</v>
      </c>
    </row>
    <row r="20" spans="1:17" ht="45.75" customHeight="1" x14ac:dyDescent="0.2">
      <c r="A20" s="4"/>
      <c r="B20" s="5" t="s">
        <v>17</v>
      </c>
      <c r="C20" s="6">
        <v>0</v>
      </c>
      <c r="D20" s="7"/>
      <c r="E20" s="8"/>
      <c r="F20" s="8"/>
      <c r="G20" s="9" t="str">
        <f t="shared" si="0"/>
        <v/>
      </c>
      <c r="H20" s="4"/>
      <c r="I20" s="4"/>
      <c r="J20" s="4"/>
      <c r="K20" s="7"/>
      <c r="L20" s="7"/>
      <c r="M20" s="7"/>
      <c r="N20" s="10"/>
      <c r="O20" s="10"/>
      <c r="Q20" s="17" t="s">
        <v>31</v>
      </c>
    </row>
    <row r="21" spans="1:17" ht="45.75" customHeight="1" x14ac:dyDescent="0.2">
      <c r="A21" s="4"/>
      <c r="B21" s="5" t="s">
        <v>17</v>
      </c>
      <c r="C21" s="6">
        <v>0</v>
      </c>
      <c r="D21" s="7"/>
      <c r="E21" s="8"/>
      <c r="F21" s="8"/>
      <c r="G21" s="9" t="str">
        <f t="shared" si="0"/>
        <v/>
      </c>
      <c r="H21" s="4"/>
      <c r="I21" s="4"/>
      <c r="J21" s="4"/>
      <c r="K21" s="7"/>
      <c r="L21" s="7"/>
      <c r="M21" s="7"/>
      <c r="N21" s="10"/>
      <c r="O21" s="10"/>
      <c r="Q21" s="17" t="s">
        <v>32</v>
      </c>
    </row>
    <row r="22" spans="1:17" ht="45.75" customHeight="1" x14ac:dyDescent="0.2">
      <c r="A22" s="4"/>
      <c r="B22" s="5" t="s">
        <v>17</v>
      </c>
      <c r="C22" s="6">
        <v>0</v>
      </c>
      <c r="D22" s="7"/>
      <c r="E22" s="8"/>
      <c r="F22" s="8"/>
      <c r="G22" s="9" t="str">
        <f t="shared" si="0"/>
        <v/>
      </c>
      <c r="H22" s="4"/>
      <c r="I22" s="4"/>
      <c r="J22" s="4"/>
      <c r="K22" s="7"/>
      <c r="L22" s="7"/>
      <c r="M22" s="7"/>
      <c r="N22" s="10"/>
      <c r="O22" s="10"/>
      <c r="Q22" s="17" t="s">
        <v>33</v>
      </c>
    </row>
    <row r="23" spans="1:17" ht="45.75" customHeight="1" x14ac:dyDescent="0.2">
      <c r="A23" s="4"/>
      <c r="B23" s="5" t="s">
        <v>17</v>
      </c>
      <c r="C23" s="6">
        <v>0</v>
      </c>
      <c r="D23" s="7"/>
      <c r="E23" s="8"/>
      <c r="F23" s="8"/>
      <c r="G23" s="9" t="str">
        <f t="shared" si="0"/>
        <v/>
      </c>
      <c r="H23" s="4"/>
      <c r="I23" s="4"/>
      <c r="J23" s="4"/>
      <c r="K23" s="7"/>
      <c r="L23" s="7"/>
      <c r="M23" s="7"/>
      <c r="N23" s="10"/>
      <c r="O23" s="10"/>
      <c r="Q23" s="17" t="s">
        <v>34</v>
      </c>
    </row>
    <row r="24" spans="1:17" ht="45.75" customHeight="1" x14ac:dyDescent="0.2">
      <c r="A24" s="4"/>
      <c r="B24" s="5" t="s">
        <v>17</v>
      </c>
      <c r="C24" s="6">
        <v>0</v>
      </c>
      <c r="D24" s="7"/>
      <c r="E24" s="8"/>
      <c r="F24" s="8"/>
      <c r="G24" s="9" t="str">
        <f t="shared" si="0"/>
        <v/>
      </c>
      <c r="H24" s="4"/>
      <c r="I24" s="4"/>
      <c r="J24" s="4"/>
      <c r="K24" s="7"/>
      <c r="L24" s="7"/>
      <c r="M24" s="7"/>
      <c r="N24" s="10"/>
      <c r="O24" s="10"/>
      <c r="Q24" s="17" t="s">
        <v>35</v>
      </c>
    </row>
    <row r="25" spans="1:17" ht="45.75" customHeight="1" x14ac:dyDescent="0.2">
      <c r="A25" s="4"/>
      <c r="B25" s="5" t="s">
        <v>17</v>
      </c>
      <c r="C25" s="6">
        <v>0</v>
      </c>
      <c r="D25" s="7"/>
      <c r="E25" s="8"/>
      <c r="F25" s="8"/>
      <c r="G25" s="9" t="str">
        <f t="shared" si="0"/>
        <v/>
      </c>
      <c r="H25" s="4"/>
      <c r="I25" s="4"/>
      <c r="J25" s="4"/>
      <c r="K25" s="7"/>
      <c r="L25" s="7"/>
      <c r="M25" s="7"/>
      <c r="N25" s="10"/>
      <c r="O25" s="10"/>
      <c r="Q25" s="17" t="s">
        <v>36</v>
      </c>
    </row>
    <row r="26" spans="1:17" ht="45.75" customHeight="1" x14ac:dyDescent="0.2">
      <c r="A26" s="4"/>
      <c r="B26" s="5" t="s">
        <v>17</v>
      </c>
      <c r="C26" s="6">
        <v>0</v>
      </c>
      <c r="D26" s="7"/>
      <c r="E26" s="8"/>
      <c r="F26" s="8"/>
      <c r="G26" s="9" t="str">
        <f t="shared" si="0"/>
        <v/>
      </c>
      <c r="H26" s="4"/>
      <c r="I26" s="4"/>
      <c r="J26" s="4"/>
      <c r="K26" s="7"/>
      <c r="L26" s="7"/>
      <c r="M26" s="7"/>
      <c r="N26" s="10"/>
      <c r="O26" s="10"/>
      <c r="Q26" s="17" t="s">
        <v>37</v>
      </c>
    </row>
    <row r="27" spans="1:17" ht="45.75" customHeight="1" x14ac:dyDescent="0.2">
      <c r="A27" s="4"/>
      <c r="B27" s="5" t="s">
        <v>17</v>
      </c>
      <c r="C27" s="6">
        <v>0</v>
      </c>
      <c r="D27" s="7"/>
      <c r="E27" s="8"/>
      <c r="F27" s="8"/>
      <c r="G27" s="9" t="str">
        <f t="shared" si="0"/>
        <v/>
      </c>
      <c r="H27" s="4"/>
      <c r="I27" s="4"/>
      <c r="J27" s="4"/>
      <c r="K27" s="7"/>
      <c r="L27" s="7"/>
      <c r="M27" s="7"/>
      <c r="N27" s="10"/>
      <c r="O27" s="10"/>
      <c r="Q27" s="17" t="s">
        <v>38</v>
      </c>
    </row>
    <row r="28" spans="1:17" ht="45.75" customHeight="1" x14ac:dyDescent="0.2">
      <c r="A28" s="4"/>
      <c r="B28" s="5" t="s">
        <v>17</v>
      </c>
      <c r="C28" s="6">
        <v>0</v>
      </c>
      <c r="D28" s="7"/>
      <c r="E28" s="8"/>
      <c r="F28" s="8"/>
      <c r="G28" s="9" t="str">
        <f t="shared" si="0"/>
        <v/>
      </c>
      <c r="H28" s="4"/>
      <c r="I28" s="4"/>
      <c r="J28" s="4"/>
      <c r="K28" s="7"/>
      <c r="L28" s="7"/>
      <c r="M28" s="7"/>
      <c r="N28" s="10"/>
      <c r="O28" s="10"/>
    </row>
    <row r="29" spans="1:17" ht="45.75" customHeight="1" x14ac:dyDescent="0.2">
      <c r="A29" s="4"/>
      <c r="B29" s="5" t="s">
        <v>17</v>
      </c>
      <c r="C29" s="6">
        <v>0</v>
      </c>
      <c r="D29" s="7"/>
      <c r="E29" s="8"/>
      <c r="F29" s="8"/>
      <c r="G29" s="9" t="str">
        <f t="shared" si="0"/>
        <v/>
      </c>
      <c r="H29" s="4"/>
      <c r="I29" s="4"/>
      <c r="J29" s="4"/>
      <c r="K29" s="7"/>
      <c r="L29" s="7"/>
      <c r="M29" s="7"/>
      <c r="N29" s="10"/>
      <c r="O29" s="10"/>
    </row>
    <row r="30" spans="1:17" ht="45.75" customHeight="1" x14ac:dyDescent="0.2">
      <c r="A30" s="4"/>
      <c r="B30" s="5" t="s">
        <v>17</v>
      </c>
      <c r="C30" s="6">
        <v>0</v>
      </c>
      <c r="D30" s="7"/>
      <c r="E30" s="8"/>
      <c r="F30" s="8"/>
      <c r="G30" s="9" t="str">
        <f t="shared" si="0"/>
        <v/>
      </c>
      <c r="H30" s="4"/>
      <c r="I30" s="4"/>
      <c r="J30" s="4"/>
      <c r="K30" s="7"/>
      <c r="L30" s="7"/>
      <c r="M30" s="7"/>
      <c r="N30" s="10"/>
      <c r="O30" s="10"/>
    </row>
    <row r="31" spans="1:17" ht="45.75" customHeight="1" x14ac:dyDescent="0.2">
      <c r="A31" s="4"/>
      <c r="B31" s="5" t="s">
        <v>17</v>
      </c>
      <c r="C31" s="6">
        <v>0</v>
      </c>
      <c r="D31" s="7"/>
      <c r="E31" s="8"/>
      <c r="F31" s="8"/>
      <c r="G31" s="9" t="str">
        <f t="shared" si="0"/>
        <v/>
      </c>
      <c r="H31" s="4"/>
      <c r="I31" s="4"/>
      <c r="J31" s="4"/>
      <c r="K31" s="7"/>
      <c r="L31" s="7"/>
      <c r="M31" s="7"/>
      <c r="N31" s="10"/>
      <c r="O31" s="10"/>
    </row>
    <row r="32" spans="1:17" ht="45.75" customHeight="1" x14ac:dyDescent="0.2">
      <c r="A32" s="4"/>
      <c r="B32" s="5" t="s">
        <v>17</v>
      </c>
      <c r="C32" s="6">
        <v>0</v>
      </c>
      <c r="D32" s="7"/>
      <c r="E32" s="8"/>
      <c r="F32" s="8"/>
      <c r="G32" s="9" t="str">
        <f t="shared" si="0"/>
        <v/>
      </c>
      <c r="H32" s="4"/>
      <c r="I32" s="4"/>
      <c r="J32" s="4"/>
      <c r="K32" s="7"/>
      <c r="L32" s="7"/>
      <c r="M32" s="7"/>
      <c r="N32" s="10"/>
      <c r="O32" s="10"/>
    </row>
    <row r="33" spans="1:15" ht="45.75" customHeight="1" x14ac:dyDescent="0.2">
      <c r="A33" s="4"/>
      <c r="B33" s="5" t="s">
        <v>17</v>
      </c>
      <c r="C33" s="6">
        <v>0</v>
      </c>
      <c r="D33" s="7"/>
      <c r="E33" s="8"/>
      <c r="F33" s="8"/>
      <c r="G33" s="9" t="str">
        <f t="shared" si="0"/>
        <v/>
      </c>
      <c r="H33" s="4"/>
      <c r="I33" s="4"/>
      <c r="J33" s="4"/>
      <c r="K33" s="7"/>
      <c r="L33" s="7"/>
      <c r="M33" s="7"/>
      <c r="N33" s="10"/>
      <c r="O33" s="10"/>
    </row>
    <row r="34" spans="1:15" ht="45.75" customHeight="1" x14ac:dyDescent="0.2">
      <c r="A34" s="4"/>
      <c r="B34" s="5" t="s">
        <v>17</v>
      </c>
      <c r="C34" s="6">
        <v>0</v>
      </c>
      <c r="D34" s="7"/>
      <c r="E34" s="8"/>
      <c r="F34" s="8"/>
      <c r="G34" s="9" t="str">
        <f t="shared" ref="G34:G61" si="1">IF(OR($E34="",$F34=""),"",$F34-$E34)</f>
        <v/>
      </c>
      <c r="H34" s="4"/>
      <c r="I34" s="4"/>
      <c r="J34" s="4"/>
      <c r="K34" s="7"/>
      <c r="L34" s="7"/>
      <c r="M34" s="7"/>
      <c r="N34" s="10"/>
      <c r="O34" s="10"/>
    </row>
    <row r="35" spans="1:15" ht="45.75" customHeight="1" x14ac:dyDescent="0.2">
      <c r="A35" s="4"/>
      <c r="B35" s="5" t="s">
        <v>17</v>
      </c>
      <c r="C35" s="6">
        <v>0</v>
      </c>
      <c r="D35" s="7"/>
      <c r="E35" s="8"/>
      <c r="F35" s="8"/>
      <c r="G35" s="9" t="str">
        <f t="shared" si="1"/>
        <v/>
      </c>
      <c r="H35" s="4"/>
      <c r="I35" s="4"/>
      <c r="J35" s="4"/>
      <c r="K35" s="7"/>
      <c r="L35" s="7"/>
      <c r="M35" s="7"/>
      <c r="N35" s="10"/>
      <c r="O35" s="10"/>
    </row>
    <row r="36" spans="1:15" ht="45.75" customHeight="1" x14ac:dyDescent="0.2">
      <c r="A36" s="4"/>
      <c r="B36" s="5" t="s">
        <v>17</v>
      </c>
      <c r="C36" s="6">
        <v>0</v>
      </c>
      <c r="D36" s="7"/>
      <c r="E36" s="8"/>
      <c r="F36" s="8"/>
      <c r="G36" s="9" t="str">
        <f t="shared" si="1"/>
        <v/>
      </c>
      <c r="H36" s="4"/>
      <c r="I36" s="4"/>
      <c r="J36" s="4"/>
      <c r="K36" s="7"/>
      <c r="L36" s="7"/>
      <c r="M36" s="7"/>
      <c r="N36" s="10"/>
      <c r="O36" s="10"/>
    </row>
    <row r="37" spans="1:15" ht="45.75" customHeight="1" x14ac:dyDescent="0.2">
      <c r="A37" s="4"/>
      <c r="B37" s="5" t="s">
        <v>17</v>
      </c>
      <c r="C37" s="6">
        <v>0</v>
      </c>
      <c r="D37" s="7"/>
      <c r="E37" s="8"/>
      <c r="F37" s="8"/>
      <c r="G37" s="9" t="str">
        <f t="shared" si="1"/>
        <v/>
      </c>
      <c r="H37" s="4"/>
      <c r="I37" s="4"/>
      <c r="J37" s="4"/>
      <c r="K37" s="7"/>
      <c r="L37" s="7"/>
      <c r="M37" s="7"/>
      <c r="N37" s="10"/>
      <c r="O37" s="10"/>
    </row>
    <row r="38" spans="1:15" ht="45.75" customHeight="1" x14ac:dyDescent="0.2">
      <c r="A38" s="4"/>
      <c r="B38" s="5" t="s">
        <v>17</v>
      </c>
      <c r="C38" s="6">
        <v>0</v>
      </c>
      <c r="D38" s="7"/>
      <c r="E38" s="8"/>
      <c r="F38" s="8"/>
      <c r="G38" s="9" t="str">
        <f t="shared" si="1"/>
        <v/>
      </c>
      <c r="H38" s="4"/>
      <c r="I38" s="4"/>
      <c r="J38" s="4"/>
      <c r="K38" s="7"/>
      <c r="L38" s="7"/>
      <c r="M38" s="7"/>
      <c r="N38" s="10"/>
      <c r="O38" s="10"/>
    </row>
    <row r="39" spans="1:15" ht="45.75" customHeight="1" x14ac:dyDescent="0.2">
      <c r="A39" s="4"/>
      <c r="B39" s="5" t="s">
        <v>17</v>
      </c>
      <c r="C39" s="6">
        <v>0</v>
      </c>
      <c r="D39" s="7"/>
      <c r="E39" s="8"/>
      <c r="F39" s="8"/>
      <c r="G39" s="9" t="str">
        <f t="shared" si="1"/>
        <v/>
      </c>
      <c r="H39" s="4"/>
      <c r="I39" s="4"/>
      <c r="J39" s="4"/>
      <c r="K39" s="7"/>
      <c r="L39" s="7"/>
      <c r="M39" s="7"/>
      <c r="N39" s="10"/>
      <c r="O39" s="10"/>
    </row>
    <row r="40" spans="1:15" ht="45.75" customHeight="1" x14ac:dyDescent="0.2">
      <c r="A40" s="4"/>
      <c r="B40" s="5" t="s">
        <v>17</v>
      </c>
      <c r="C40" s="6">
        <v>0</v>
      </c>
      <c r="D40" s="7"/>
      <c r="E40" s="8"/>
      <c r="F40" s="8"/>
      <c r="G40" s="9" t="str">
        <f t="shared" si="1"/>
        <v/>
      </c>
      <c r="H40" s="4"/>
      <c r="I40" s="4"/>
      <c r="J40" s="4"/>
      <c r="K40" s="7"/>
      <c r="L40" s="7"/>
      <c r="M40" s="7"/>
      <c r="N40" s="10"/>
      <c r="O40" s="10"/>
    </row>
    <row r="41" spans="1:15" ht="45.75" customHeight="1" x14ac:dyDescent="0.2">
      <c r="A41" s="4"/>
      <c r="B41" s="5" t="s">
        <v>17</v>
      </c>
      <c r="C41" s="6">
        <v>0</v>
      </c>
      <c r="D41" s="7"/>
      <c r="E41" s="8"/>
      <c r="F41" s="8"/>
      <c r="G41" s="9" t="str">
        <f t="shared" si="1"/>
        <v/>
      </c>
      <c r="H41" s="4"/>
      <c r="I41" s="4"/>
      <c r="J41" s="4"/>
      <c r="K41" s="7"/>
      <c r="L41" s="7"/>
      <c r="M41" s="7"/>
      <c r="N41" s="10"/>
      <c r="O41" s="10"/>
    </row>
    <row r="42" spans="1:15" ht="45.75" customHeight="1" x14ac:dyDescent="0.2">
      <c r="A42" s="4"/>
      <c r="B42" s="5" t="s">
        <v>17</v>
      </c>
      <c r="C42" s="6">
        <v>0</v>
      </c>
      <c r="D42" s="7"/>
      <c r="E42" s="8"/>
      <c r="F42" s="8"/>
      <c r="G42" s="9" t="str">
        <f t="shared" si="1"/>
        <v/>
      </c>
      <c r="H42" s="4"/>
      <c r="I42" s="4"/>
      <c r="J42" s="4"/>
      <c r="K42" s="7"/>
      <c r="L42" s="7"/>
      <c r="M42" s="7"/>
      <c r="N42" s="10"/>
      <c r="O42" s="10"/>
    </row>
    <row r="43" spans="1:15" ht="45.75" customHeight="1" x14ac:dyDescent="0.2">
      <c r="A43" s="4"/>
      <c r="B43" s="5" t="s">
        <v>17</v>
      </c>
      <c r="C43" s="6">
        <v>0</v>
      </c>
      <c r="D43" s="7"/>
      <c r="E43" s="8"/>
      <c r="F43" s="8"/>
      <c r="G43" s="9" t="str">
        <f t="shared" si="1"/>
        <v/>
      </c>
      <c r="H43" s="4"/>
      <c r="I43" s="4"/>
      <c r="J43" s="4"/>
      <c r="K43" s="7"/>
      <c r="L43" s="7"/>
      <c r="M43" s="7"/>
      <c r="N43" s="10"/>
      <c r="O43" s="10"/>
    </row>
    <row r="44" spans="1:15" ht="45.75" customHeight="1" x14ac:dyDescent="0.2">
      <c r="A44" s="4"/>
      <c r="B44" s="5" t="s">
        <v>17</v>
      </c>
      <c r="C44" s="6">
        <v>0</v>
      </c>
      <c r="D44" s="7"/>
      <c r="E44" s="8"/>
      <c r="F44" s="8"/>
      <c r="G44" s="9" t="str">
        <f t="shared" si="1"/>
        <v/>
      </c>
      <c r="H44" s="4"/>
      <c r="I44" s="4"/>
      <c r="J44" s="4"/>
      <c r="K44" s="7"/>
      <c r="L44" s="7"/>
      <c r="M44" s="7"/>
      <c r="N44" s="10"/>
      <c r="O44" s="10"/>
    </row>
    <row r="45" spans="1:15" ht="45.75" customHeight="1" x14ac:dyDescent="0.2">
      <c r="A45" s="4"/>
      <c r="B45" s="5" t="s">
        <v>17</v>
      </c>
      <c r="C45" s="6">
        <v>0</v>
      </c>
      <c r="D45" s="7"/>
      <c r="E45" s="8"/>
      <c r="F45" s="8"/>
      <c r="G45" s="9" t="str">
        <f t="shared" si="1"/>
        <v/>
      </c>
      <c r="H45" s="4"/>
      <c r="I45" s="4"/>
      <c r="J45" s="4"/>
      <c r="K45" s="7"/>
      <c r="L45" s="7"/>
      <c r="M45" s="7"/>
      <c r="N45" s="10"/>
      <c r="O45" s="10"/>
    </row>
    <row r="46" spans="1:15" ht="45.75" customHeight="1" x14ac:dyDescent="0.2">
      <c r="A46" s="4"/>
      <c r="B46" s="5" t="s">
        <v>17</v>
      </c>
      <c r="C46" s="6">
        <v>0</v>
      </c>
      <c r="D46" s="7"/>
      <c r="E46" s="8"/>
      <c r="F46" s="8"/>
      <c r="G46" s="9" t="str">
        <f t="shared" si="1"/>
        <v/>
      </c>
      <c r="H46" s="4"/>
      <c r="I46" s="4"/>
      <c r="J46" s="4"/>
      <c r="K46" s="7"/>
      <c r="L46" s="7"/>
      <c r="M46" s="7"/>
      <c r="N46" s="10"/>
      <c r="O46" s="10"/>
    </row>
    <row r="47" spans="1:15" ht="45.75" customHeight="1" x14ac:dyDescent="0.2">
      <c r="A47" s="4"/>
      <c r="B47" s="5" t="s">
        <v>17</v>
      </c>
      <c r="C47" s="6">
        <v>0</v>
      </c>
      <c r="D47" s="7"/>
      <c r="E47" s="8"/>
      <c r="F47" s="8"/>
      <c r="G47" s="9" t="str">
        <f t="shared" si="1"/>
        <v/>
      </c>
      <c r="H47" s="4"/>
      <c r="I47" s="4"/>
      <c r="J47" s="4"/>
      <c r="K47" s="7"/>
      <c r="L47" s="7"/>
      <c r="M47" s="7"/>
      <c r="N47" s="10"/>
      <c r="O47" s="10"/>
    </row>
    <row r="48" spans="1:15" ht="45.75" customHeight="1" x14ac:dyDescent="0.2">
      <c r="A48" s="4"/>
      <c r="B48" s="5" t="s">
        <v>17</v>
      </c>
      <c r="C48" s="6">
        <v>0</v>
      </c>
      <c r="D48" s="7"/>
      <c r="E48" s="8"/>
      <c r="F48" s="8"/>
      <c r="G48" s="9" t="str">
        <f t="shared" si="1"/>
        <v/>
      </c>
      <c r="H48" s="4"/>
      <c r="I48" s="4"/>
      <c r="J48" s="4"/>
      <c r="K48" s="7"/>
      <c r="L48" s="7"/>
      <c r="M48" s="7"/>
      <c r="N48" s="10"/>
      <c r="O48" s="10"/>
    </row>
    <row r="49" spans="1:15" ht="45.75" customHeight="1" x14ac:dyDescent="0.2">
      <c r="A49" s="4"/>
      <c r="B49" s="5" t="s">
        <v>17</v>
      </c>
      <c r="C49" s="6">
        <v>0</v>
      </c>
      <c r="D49" s="7"/>
      <c r="E49" s="8"/>
      <c r="F49" s="8"/>
      <c r="G49" s="9" t="str">
        <f t="shared" si="1"/>
        <v/>
      </c>
      <c r="H49" s="4"/>
      <c r="I49" s="4"/>
      <c r="J49" s="4"/>
      <c r="K49" s="7"/>
      <c r="L49" s="7"/>
      <c r="M49" s="7"/>
      <c r="N49" s="10"/>
      <c r="O49" s="10"/>
    </row>
    <row r="50" spans="1:15" ht="45.75" customHeight="1" x14ac:dyDescent="0.2">
      <c r="A50" s="4"/>
      <c r="B50" s="5" t="s">
        <v>17</v>
      </c>
      <c r="C50" s="6">
        <v>0</v>
      </c>
      <c r="D50" s="7"/>
      <c r="E50" s="8"/>
      <c r="F50" s="8"/>
      <c r="G50" s="9" t="str">
        <f t="shared" si="1"/>
        <v/>
      </c>
      <c r="H50" s="4"/>
      <c r="I50" s="4"/>
      <c r="J50" s="4"/>
      <c r="K50" s="7"/>
      <c r="L50" s="7"/>
      <c r="M50" s="7"/>
      <c r="N50" s="10"/>
      <c r="O50" s="10"/>
    </row>
    <row r="51" spans="1:15" ht="45.75" customHeight="1" x14ac:dyDescent="0.2">
      <c r="A51" s="4"/>
      <c r="B51" s="5" t="s">
        <v>17</v>
      </c>
      <c r="C51" s="6">
        <v>0</v>
      </c>
      <c r="D51" s="7"/>
      <c r="E51" s="8"/>
      <c r="F51" s="8"/>
      <c r="G51" s="9" t="str">
        <f t="shared" si="1"/>
        <v/>
      </c>
      <c r="H51" s="4"/>
      <c r="I51" s="4"/>
      <c r="J51" s="4"/>
      <c r="K51" s="7"/>
      <c r="L51" s="7"/>
      <c r="M51" s="7"/>
      <c r="N51" s="10"/>
      <c r="O51" s="10"/>
    </row>
    <row r="52" spans="1:15" ht="45.75" customHeight="1" x14ac:dyDescent="0.2">
      <c r="A52" s="4"/>
      <c r="B52" s="5" t="s">
        <v>17</v>
      </c>
      <c r="C52" s="6">
        <v>0</v>
      </c>
      <c r="D52" s="7"/>
      <c r="E52" s="8"/>
      <c r="F52" s="8"/>
      <c r="G52" s="9" t="str">
        <f t="shared" si="1"/>
        <v/>
      </c>
      <c r="H52" s="4"/>
      <c r="I52" s="4"/>
      <c r="J52" s="4"/>
      <c r="K52" s="7"/>
      <c r="L52" s="7"/>
      <c r="M52" s="7"/>
      <c r="N52" s="10"/>
      <c r="O52" s="10"/>
    </row>
    <row r="53" spans="1:15" ht="45.75" customHeight="1" x14ac:dyDescent="0.2">
      <c r="A53" s="4"/>
      <c r="B53" s="5" t="s">
        <v>17</v>
      </c>
      <c r="C53" s="6">
        <v>0</v>
      </c>
      <c r="D53" s="7"/>
      <c r="E53" s="8"/>
      <c r="F53" s="8"/>
      <c r="G53" s="9" t="str">
        <f t="shared" si="1"/>
        <v/>
      </c>
      <c r="H53" s="4"/>
      <c r="I53" s="4"/>
      <c r="J53" s="4"/>
      <c r="K53" s="7"/>
      <c r="L53" s="7"/>
      <c r="M53" s="7"/>
      <c r="N53" s="10"/>
      <c r="O53" s="10"/>
    </row>
    <row r="54" spans="1:15" ht="45.75" customHeight="1" x14ac:dyDescent="0.2">
      <c r="A54" s="4"/>
      <c r="B54" s="5" t="s">
        <v>17</v>
      </c>
      <c r="C54" s="6">
        <v>0</v>
      </c>
      <c r="D54" s="7"/>
      <c r="E54" s="8"/>
      <c r="F54" s="8"/>
      <c r="G54" s="9" t="str">
        <f t="shared" si="1"/>
        <v/>
      </c>
      <c r="H54" s="4"/>
      <c r="I54" s="4"/>
      <c r="J54" s="4"/>
      <c r="K54" s="7"/>
      <c r="L54" s="7"/>
      <c r="M54" s="7"/>
      <c r="N54" s="10"/>
      <c r="O54" s="10"/>
    </row>
    <row r="55" spans="1:15" ht="45.75" customHeight="1" x14ac:dyDescent="0.2">
      <c r="A55" s="4"/>
      <c r="B55" s="5" t="s">
        <v>17</v>
      </c>
      <c r="C55" s="6">
        <v>0</v>
      </c>
      <c r="D55" s="7"/>
      <c r="E55" s="8"/>
      <c r="F55" s="8"/>
      <c r="G55" s="9" t="str">
        <f t="shared" si="1"/>
        <v/>
      </c>
      <c r="H55" s="4"/>
      <c r="I55" s="4"/>
      <c r="J55" s="4"/>
      <c r="K55" s="7"/>
      <c r="L55" s="7"/>
      <c r="M55" s="7"/>
      <c r="N55" s="10"/>
      <c r="O55" s="10"/>
    </row>
    <row r="56" spans="1:15" ht="45.75" customHeight="1" x14ac:dyDescent="0.2">
      <c r="A56" s="4"/>
      <c r="B56" s="5" t="s">
        <v>17</v>
      </c>
      <c r="C56" s="6">
        <v>0</v>
      </c>
      <c r="D56" s="7"/>
      <c r="E56" s="8"/>
      <c r="F56" s="8"/>
      <c r="G56" s="9" t="str">
        <f t="shared" si="1"/>
        <v/>
      </c>
      <c r="H56" s="4"/>
      <c r="I56" s="4"/>
      <c r="J56" s="4"/>
      <c r="K56" s="7"/>
      <c r="L56" s="7"/>
      <c r="M56" s="7"/>
      <c r="N56" s="10"/>
      <c r="O56" s="10"/>
    </row>
    <row r="57" spans="1:15" ht="45.75" customHeight="1" x14ac:dyDescent="0.2">
      <c r="A57" s="4"/>
      <c r="B57" s="5" t="s">
        <v>17</v>
      </c>
      <c r="C57" s="6">
        <v>0</v>
      </c>
      <c r="D57" s="7"/>
      <c r="E57" s="8"/>
      <c r="F57" s="8"/>
      <c r="G57" s="9" t="str">
        <f t="shared" si="1"/>
        <v/>
      </c>
      <c r="H57" s="4"/>
      <c r="I57" s="4"/>
      <c r="J57" s="4"/>
      <c r="K57" s="7"/>
      <c r="L57" s="7"/>
      <c r="M57" s="7"/>
      <c r="N57" s="10"/>
      <c r="O57" s="10"/>
    </row>
    <row r="58" spans="1:15" ht="45.75" customHeight="1" x14ac:dyDescent="0.2">
      <c r="A58" s="4"/>
      <c r="B58" s="5" t="s">
        <v>17</v>
      </c>
      <c r="C58" s="6">
        <v>0</v>
      </c>
      <c r="D58" s="7"/>
      <c r="E58" s="8"/>
      <c r="F58" s="8"/>
      <c r="G58" s="9" t="str">
        <f t="shared" si="1"/>
        <v/>
      </c>
      <c r="H58" s="4"/>
      <c r="I58" s="4"/>
      <c r="J58" s="4"/>
      <c r="K58" s="7"/>
      <c r="L58" s="7"/>
      <c r="M58" s="7"/>
      <c r="N58" s="10"/>
      <c r="O58" s="10"/>
    </row>
    <row r="59" spans="1:15" ht="45.75" customHeight="1" x14ac:dyDescent="0.2">
      <c r="A59" s="4"/>
      <c r="B59" s="5" t="s">
        <v>17</v>
      </c>
      <c r="C59" s="6">
        <v>0</v>
      </c>
      <c r="D59" s="7"/>
      <c r="E59" s="8"/>
      <c r="F59" s="8"/>
      <c r="G59" s="9" t="str">
        <f t="shared" si="1"/>
        <v/>
      </c>
      <c r="H59" s="4"/>
      <c r="I59" s="4"/>
      <c r="J59" s="4"/>
      <c r="K59" s="7"/>
      <c r="L59" s="7"/>
      <c r="M59" s="7"/>
      <c r="N59" s="10"/>
      <c r="O59" s="10"/>
    </row>
    <row r="60" spans="1:15" ht="45.75" customHeight="1" x14ac:dyDescent="0.2">
      <c r="A60" s="4"/>
      <c r="B60" s="5" t="s">
        <v>17</v>
      </c>
      <c r="C60" s="6">
        <v>0</v>
      </c>
      <c r="D60" s="7"/>
      <c r="E60" s="8"/>
      <c r="F60" s="8"/>
      <c r="G60" s="9" t="str">
        <f t="shared" si="1"/>
        <v/>
      </c>
      <c r="H60" s="4"/>
      <c r="I60" s="4"/>
      <c r="J60" s="4"/>
      <c r="K60" s="7"/>
      <c r="L60" s="7"/>
      <c r="M60" s="7"/>
      <c r="N60" s="10"/>
      <c r="O60" s="10"/>
    </row>
    <row r="61" spans="1:15" ht="45.75" customHeight="1" x14ac:dyDescent="0.2">
      <c r="A61" s="4"/>
      <c r="B61" s="5" t="s">
        <v>17</v>
      </c>
      <c r="C61" s="6">
        <v>0</v>
      </c>
      <c r="D61" s="7"/>
      <c r="E61" s="8"/>
      <c r="F61" s="8"/>
      <c r="G61" s="9" t="str">
        <f t="shared" si="1"/>
        <v/>
      </c>
      <c r="H61" s="4"/>
      <c r="I61" s="4"/>
      <c r="J61" s="4"/>
      <c r="K61" s="7"/>
      <c r="L61" s="7"/>
      <c r="M61" s="7"/>
      <c r="N61" s="10"/>
      <c r="O61" s="10"/>
    </row>
  </sheetData>
  <autoFilter ref="A1:O61" xr:uid="{00000000-0009-0000-0000-000000000000}"/>
  <conditionalFormatting sqref="B2:B61">
    <cfRule type="cellIs" dxfId="5" priority="2" operator="equal">
      <formula>"Tamamlandı"</formula>
    </cfRule>
    <cfRule type="cellIs" dxfId="4" priority="3" operator="equal">
      <formula>"İncelemede"</formula>
    </cfRule>
    <cfRule type="cellIs" dxfId="3" priority="4" operator="equal">
      <formula>"Devam Ediyor"</formula>
    </cfRule>
    <cfRule type="cellIs" dxfId="2" priority="5" operator="equal">
      <formula>"Beklemede"</formula>
    </cfRule>
  </conditionalFormatting>
  <conditionalFormatting sqref="G2:G61">
    <cfRule type="cellIs" dxfId="1" priority="6" operator="greaterThan">
      <formula>0</formula>
    </cfRule>
    <cfRule type="cellIs" dxfId="0" priority="7" operator="lessThanOrEqual">
      <formula>0</formula>
    </cfRule>
  </conditionalFormatting>
  <dataValidations count="3">
    <dataValidation type="list" allowBlank="1" errorTitle="Geçersiz durum" error="Akış: Başlanacak → Devam Ediyor → İncelemede → Tamamlandı (veya Beklemede)" sqref="B2:B61" xr:uid="{00000000-0002-0000-0000-000000000000}">
      <formula1>"Başlanacak,Devam Ediyor,İncelemede,Tamamlandı,Beklemede"</formula1>
      <formula2>0</formula2>
    </dataValidation>
    <dataValidation type="decimal" allowBlank="1" error="0 ile 100% arasında bir değer gir." sqref="C2:C61" xr:uid="{00000000-0002-0000-0000-000001000000}">
      <formula1>0</formula1>
      <formula2>1</formula2>
    </dataValidation>
    <dataValidation type="decimal" operator="greaterThanOrEqual" allowBlank="1" error="Süreyi saat cinsinden, pozitif bir sayı olarak gir." sqref="E2:F61" xr:uid="{00000000-0002-0000-0000-000002000000}">
      <formula1>0</formula1>
      <formula2>0</formula2>
    </dataValidation>
  </dataValidations>
  <hyperlinks>
    <hyperlink ref="N2" r:id="rId1" xr:uid="{541E61FF-5F93-D44B-8196-6E358E4A1450}"/>
    <hyperlink ref="N10" r:id="rId2" xr:uid="{443E49B6-1FB0-6C46-8CAA-1F9E8E5AA686}"/>
    <hyperlink ref="N3" r:id="rId3" xr:uid="{E8C9CC72-FAD2-494C-A7E4-3A156E77948C}"/>
    <hyperlink ref="N4" r:id="rId4" xr:uid="{32E5383A-BD74-994D-9E1B-62629E9C8802}"/>
    <hyperlink ref="N5" r:id="rId5" xr:uid="{BEF04061-B067-894C-90BF-AEA8C79E2C5A}"/>
    <hyperlink ref="N6" r:id="rId6" xr:uid="{64C9553F-4FAC-C547-99C9-81DDCD803EB1}"/>
    <hyperlink ref="N7" r:id="rId7" xr:uid="{825A5988-1841-B14F-82CD-4189169CB927}"/>
    <hyperlink ref="N8" r:id="rId8" xr:uid="{D8A82FFF-2B5A-3F42-B532-3DB4158FE7D4}"/>
    <hyperlink ref="N9" r:id="rId9" xr:uid="{ED429A70-F42A-F245-A3BC-E46C0108EBFA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Staj Takip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Recep AKKUŞ</cp:lastModifiedBy>
  <cp:revision>0</cp:revision>
  <dcterms:created xsi:type="dcterms:W3CDTF">2026-07-26T13:01:24Z</dcterms:created>
  <dcterms:modified xsi:type="dcterms:W3CDTF">2026-07-26T22:19:59Z</dcterms:modified>
  <dc:language>en-US</dc:language>
</cp:coreProperties>
</file>